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ijay\NewOrg\Companies\Product_Orgs\Amarraja\Tenders\Case1\"/>
    </mc:Choice>
  </mc:AlternateContent>
  <bookViews>
    <workbookView xWindow="0" yWindow="0" windowWidth="23040" windowHeight="9072" activeTab="3"/>
  </bookViews>
  <sheets>
    <sheet name="AI Tender Processing Solution 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3" l="1"/>
  <c r="C9" i="3"/>
  <c r="C8" i="3"/>
  <c r="B10" i="3"/>
  <c r="B9" i="3"/>
  <c r="B8" i="3"/>
  <c r="C6" i="3"/>
  <c r="B6" i="3"/>
  <c r="C5" i="3"/>
  <c r="B5" i="3"/>
</calcChain>
</file>

<file path=xl/sharedStrings.xml><?xml version="1.0" encoding="utf-8"?>
<sst xmlns="http://schemas.openxmlformats.org/spreadsheetml/2006/main" count="29" uniqueCount="29">
  <si>
    <t>PDF/Excel intake (supports scanned docs), batch uploads, OCR for images (Tesseract), file validation.</t>
  </si>
  <si>
    <t>Web Solution</t>
  </si>
  <si>
    <t xml:space="preserve">Build Web Slution </t>
  </si>
  <si>
    <t>Top Task</t>
  </si>
  <si>
    <t>Details of Task</t>
  </si>
  <si>
    <t>Ingestion &amp; Parsing</t>
  </si>
  <si>
    <t>Requirement/Capability Extraction</t>
  </si>
  <si>
    <t>o Rule‑based regex &amp; token patterns for numerics/units (kWh, V, A, °C), tolerances, ranges.
o LLM prompts fine‑tuned to produce structured JSON with fields
• Vendor capability extraction mirrors the above, plus fields: offered_value, min/max, model/part, variant, conditions, evidence_span</t>
  </si>
  <si>
    <t>Alignment &amp; Reasoning Engine</t>
  </si>
  <si>
    <t>Reports &amp; Reviewer UI</t>
  </si>
  <si>
    <t>LLM for extraction and explanation</t>
  </si>
  <si>
    <t>Cloud Solution and Server Setup</t>
  </si>
  <si>
    <t>Phase-1</t>
  </si>
  <si>
    <t>Comments</t>
  </si>
  <si>
    <t xml:space="preserve">Will consider initial one Tender case to show case </t>
  </si>
  <si>
    <t>Costing</t>
  </si>
  <si>
    <t>Phase-2</t>
  </si>
  <si>
    <t>Looking initially free Cloud solution</t>
  </si>
  <si>
    <t xml:space="preserve">Input:  Customer Various Tender Cases </t>
  </si>
  <si>
    <t>Input:  Vendor Proposed Solutions</t>
  </si>
  <si>
    <t>Process</t>
  </si>
  <si>
    <t>Collect all Tender Cases, Parsing and Processing</t>
  </si>
  <si>
    <t>IC</t>
  </si>
  <si>
    <t>Man Efforts</t>
  </si>
  <si>
    <t>Material Efforts</t>
  </si>
  <si>
    <t>Travel</t>
  </si>
  <si>
    <t>sum</t>
  </si>
  <si>
    <t>with GST</t>
  </si>
  <si>
    <r>
      <t>Panel NumberApprox. Cumulative Voltage (V)Suggested Coupling Capacitor Value (μF)Recommended Voltage Rating (V)Approx. Cost per Capacitor (₹)Purchase Link / Source1400.33100₹400 – ₹450</t>
    </r>
    <r>
      <rPr>
        <sz val="11"/>
        <color theme="1"/>
        <rFont val="Calibri"/>
        <family val="2"/>
        <scheme val="minor"/>
      </rPr>
      <t>Element14 EPCOS 1μF 1kV</t>
    </r>
    <r>
      <rPr>
        <sz val="11"/>
        <color theme="1"/>
        <rFont val="Calibri"/>
        <family val="2"/>
        <scheme val="minor"/>
      </rPr>
      <t>2800.22 – 0.33150₹250 – ₹400</t>
    </r>
    <r>
      <rPr>
        <sz val="11"/>
        <color theme="1"/>
        <rFont val="Calibri"/>
        <family val="2"/>
        <scheme val="minor"/>
      </rPr>
      <t>Indiamart High Voltage Film Capacitor</t>
    </r>
    <r>
      <rPr>
        <sz val="11"/>
        <color theme="1"/>
        <rFont val="Calibri"/>
        <family val="2"/>
        <scheme val="minor"/>
      </rPr>
      <t>31200.15 – 0.22200₹200 – ₹350</t>
    </r>
    <r>
      <rPr>
        <sz val="11"/>
        <color theme="1"/>
        <rFont val="Calibri"/>
        <family val="2"/>
        <scheme val="minor"/>
      </rPr>
      <t>Kemet Film Capacitor 200V</t>
    </r>
    <r>
      <rPr>
        <sz val="11"/>
        <color theme="1"/>
        <rFont val="Calibri"/>
        <family val="2"/>
        <scheme val="minor"/>
      </rPr>
      <t>41600.1 – 0.15250₹150 – ₹300</t>
    </r>
    <r>
      <rPr>
        <sz val="11"/>
        <color theme="1"/>
        <rFont val="Calibri"/>
        <family val="2"/>
        <scheme val="minor"/>
      </rPr>
      <t>Film Capacitor Supplier</t>
    </r>
    <r>
      <rPr>
        <sz val="11"/>
        <color theme="1"/>
        <rFont val="Calibri"/>
        <family val="2"/>
        <scheme val="minor"/>
      </rPr>
      <t>52000.068 – 0.1250₹150 – ₹250Similar suppliers as above62400.068300₹150 – ₹25072800.047 – 0.068350₹100 – ₹20083200.047350₹100 – ₹20093600.033 – 0.047400₹80 – ₹180104000.033400₹80 – ₹180114400.022 – 0.033450+₹70 – ₹150124800.022450+₹70 – ₹150135200.015 – 0.022600₹60 – ₹130145600.015600₹60 – ₹130156000.01 – 0.015630₹50 – ₹110166400.01630₹50 – ₹110176800.0068 – 0.01700+₹40 – ₹100187200.0068700+₹40 – ₹100197600.0047 – 0.0068750+₹30 – ₹80208000.0047750+₹30 – ₹80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</si>
</sst>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Arial"/>
      <family val="2"/>
    </font>
    <font>
      <b/>
      <sz val="11.5"/>
      <color rgb="FF404040"/>
      <name val="Segoe UI"/>
      <family val="2"/>
    </font>
    <font>
      <sz val="10.5"/>
      <color theme="1"/>
      <name val="Calibri"/>
      <family val="2"/>
      <scheme val="minor"/>
    </font>
    <font>
      <sz val="11.5"/>
      <color rgb="FF404040"/>
      <name val="Segoe U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3" fontId="0" fillId="0" borderId="0" xfId="0" applyNumberFormat="1"/>
    <xf numFmtId="3" fontId="4" fillId="0" borderId="0" xfId="0" applyNumberFormat="1" applyFont="1"/>
    <xf numFmtId="3" fontId="3" fillId="0" borderId="0" xfId="0" applyNumberFormat="1" applyFont="1"/>
    <xf numFmtId="3" fontId="5" fillId="0" borderId="0" xfId="0" applyNumberFormat="1" applyFont="1"/>
    <xf numFmtId="3" fontId="6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16" sqref="C16"/>
    </sheetView>
  </sheetViews>
  <sheetFormatPr defaultRowHeight="14.4" x14ac:dyDescent="0.3"/>
  <cols>
    <col min="2" max="2" width="34.6640625" customWidth="1"/>
    <col min="3" max="3" width="65.44140625" customWidth="1"/>
    <col min="4" max="4" width="35.109375" customWidth="1"/>
    <col min="5" max="5" width="36.109375" customWidth="1"/>
  </cols>
  <sheetData>
    <row r="1" spans="1:5" ht="19.2" customHeight="1" x14ac:dyDescent="0.4">
      <c r="B1" s="1" t="s">
        <v>3</v>
      </c>
      <c r="C1" s="1" t="s">
        <v>4</v>
      </c>
      <c r="D1" s="1" t="s">
        <v>13</v>
      </c>
      <c r="E1" s="1" t="s">
        <v>15</v>
      </c>
    </row>
    <row r="2" spans="1:5" ht="28.8" customHeight="1" x14ac:dyDescent="0.3">
      <c r="A2" s="4" t="s">
        <v>12</v>
      </c>
      <c r="B2" t="s">
        <v>1</v>
      </c>
      <c r="C2" s="2" t="s">
        <v>2</v>
      </c>
      <c r="D2" s="5" t="s">
        <v>14</v>
      </c>
      <c r="E2" s="6"/>
    </row>
    <row r="3" spans="1:5" ht="28.8" x14ac:dyDescent="0.3">
      <c r="A3" s="4"/>
      <c r="B3" s="3" t="s">
        <v>5</v>
      </c>
      <c r="C3" s="2" t="s">
        <v>0</v>
      </c>
      <c r="D3" s="5"/>
      <c r="E3" s="6"/>
    </row>
    <row r="4" spans="1:5" ht="72" x14ac:dyDescent="0.3">
      <c r="A4" s="4"/>
      <c r="B4" s="3" t="s">
        <v>6</v>
      </c>
      <c r="C4" s="2" t="s">
        <v>7</v>
      </c>
      <c r="D4" s="5"/>
      <c r="E4" s="6"/>
    </row>
    <row r="5" spans="1:5" x14ac:dyDescent="0.3">
      <c r="A5" s="4"/>
      <c r="B5" t="s">
        <v>8</v>
      </c>
      <c r="D5" s="5"/>
      <c r="E5" s="6"/>
    </row>
    <row r="6" spans="1:5" x14ac:dyDescent="0.3">
      <c r="A6" s="4"/>
      <c r="B6" t="s">
        <v>9</v>
      </c>
      <c r="C6" s="2" t="s">
        <v>10</v>
      </c>
      <c r="D6" s="5"/>
      <c r="E6" s="6"/>
    </row>
    <row r="7" spans="1:5" x14ac:dyDescent="0.3">
      <c r="A7" s="4"/>
      <c r="B7" t="s">
        <v>11</v>
      </c>
      <c r="D7" t="s">
        <v>17</v>
      </c>
    </row>
    <row r="8" spans="1:5" x14ac:dyDescent="0.3">
      <c r="A8" t="s">
        <v>16</v>
      </c>
      <c r="B8" t="s">
        <v>18</v>
      </c>
      <c r="C8" s="2" t="s">
        <v>21</v>
      </c>
    </row>
    <row r="9" spans="1:5" x14ac:dyDescent="0.3">
      <c r="B9" t="s">
        <v>19</v>
      </c>
    </row>
    <row r="10" spans="1:5" x14ac:dyDescent="0.3">
      <c r="B10" t="s">
        <v>20</v>
      </c>
    </row>
  </sheetData>
  <mergeCells count="2">
    <mergeCell ref="A2:A7"/>
    <mergeCell ref="D2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9"/>
  <sheetViews>
    <sheetView workbookViewId="0">
      <selection activeCell="AP16" sqref="AP16"/>
    </sheetView>
  </sheetViews>
  <sheetFormatPr defaultColWidth="2.88671875" defaultRowHeight="14.4" x14ac:dyDescent="0.3"/>
  <sheetData>
    <row r="1" spans="1:76" x14ac:dyDescent="0.3">
      <c r="A1" s="12">
        <v>1</v>
      </c>
      <c r="B1" s="12">
        <v>2</v>
      </c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Y1" s="12">
        <v>25</v>
      </c>
      <c r="Z1" s="12">
        <v>26</v>
      </c>
      <c r="AA1" s="12">
        <v>27</v>
      </c>
      <c r="AB1" s="12">
        <v>28</v>
      </c>
      <c r="AC1" s="12">
        <v>29</v>
      </c>
      <c r="AD1" s="12">
        <v>30</v>
      </c>
      <c r="AE1" s="12">
        <v>31</v>
      </c>
      <c r="AF1" s="12">
        <v>32</v>
      </c>
      <c r="AG1" s="12">
        <v>33</v>
      </c>
      <c r="AH1" s="12">
        <v>34</v>
      </c>
      <c r="AI1" s="12">
        <v>35</v>
      </c>
      <c r="AJ1" s="12">
        <v>36</v>
      </c>
      <c r="AK1" s="12">
        <v>37</v>
      </c>
      <c r="AL1" s="12">
        <v>38</v>
      </c>
      <c r="AM1" s="12">
        <v>39</v>
      </c>
      <c r="AN1" s="12">
        <v>40</v>
      </c>
      <c r="AO1" s="12">
        <v>41</v>
      </c>
      <c r="AP1" s="12">
        <v>42</v>
      </c>
      <c r="AQ1" s="12">
        <v>43</v>
      </c>
      <c r="AR1" s="12">
        <v>44</v>
      </c>
      <c r="AS1" s="12">
        <v>45</v>
      </c>
      <c r="AT1" s="12">
        <v>46</v>
      </c>
      <c r="AU1" s="12">
        <v>47</v>
      </c>
      <c r="AV1" s="12">
        <v>48</v>
      </c>
      <c r="AW1" s="12">
        <v>49</v>
      </c>
      <c r="AX1" s="12">
        <v>50</v>
      </c>
      <c r="AY1" s="12">
        <v>51</v>
      </c>
      <c r="AZ1" s="12">
        <v>52</v>
      </c>
      <c r="BA1" s="12">
        <v>53</v>
      </c>
      <c r="BB1" s="12">
        <v>54</v>
      </c>
      <c r="BC1" s="12">
        <v>55</v>
      </c>
      <c r="BD1" s="12">
        <v>56</v>
      </c>
      <c r="BE1" s="12">
        <v>57</v>
      </c>
      <c r="BF1" s="12">
        <v>58</v>
      </c>
      <c r="BG1" s="12">
        <v>59</v>
      </c>
      <c r="BH1" s="12">
        <v>60</v>
      </c>
      <c r="BI1" s="12">
        <v>61</v>
      </c>
      <c r="BJ1" s="12">
        <v>62</v>
      </c>
      <c r="BK1" s="12">
        <v>63</v>
      </c>
      <c r="BL1" s="12">
        <v>64</v>
      </c>
      <c r="BM1" s="12">
        <v>65</v>
      </c>
      <c r="BN1" s="12">
        <v>66</v>
      </c>
      <c r="BO1" s="12">
        <v>67</v>
      </c>
      <c r="BP1" s="12">
        <v>68</v>
      </c>
      <c r="BQ1" s="12">
        <v>69</v>
      </c>
      <c r="BR1" s="12">
        <v>70</v>
      </c>
      <c r="BS1" s="12">
        <v>71</v>
      </c>
      <c r="BT1" s="12">
        <v>72</v>
      </c>
      <c r="BU1" s="12">
        <v>73</v>
      </c>
      <c r="BV1" s="12">
        <v>74</v>
      </c>
      <c r="BW1" s="12">
        <v>75</v>
      </c>
      <c r="BX1" s="12">
        <v>76</v>
      </c>
    </row>
    <row r="3" spans="1:76" x14ac:dyDescent="0.3">
      <c r="G3" s="8"/>
      <c r="H3" s="8"/>
      <c r="I3" s="8"/>
    </row>
    <row r="4" spans="1:76" x14ac:dyDescent="0.3">
      <c r="G4" s="8"/>
      <c r="H4" s="8"/>
      <c r="I4" s="8"/>
    </row>
    <row r="5" spans="1:76" x14ac:dyDescent="0.3">
      <c r="G5" s="8"/>
      <c r="H5" s="8"/>
      <c r="I5" s="8"/>
    </row>
    <row r="6" spans="1:76" x14ac:dyDescent="0.3">
      <c r="G6" s="8"/>
      <c r="H6" s="8"/>
      <c r="I6" s="8"/>
      <c r="L6" s="10"/>
      <c r="M6" s="10"/>
      <c r="N6" s="10"/>
      <c r="O6" s="10"/>
    </row>
    <row r="7" spans="1:76" x14ac:dyDescent="0.3">
      <c r="C7" s="7"/>
      <c r="D7" s="7"/>
      <c r="E7" s="7"/>
      <c r="F7" s="7"/>
      <c r="G7" s="8"/>
      <c r="H7" s="8"/>
      <c r="I7" s="8"/>
      <c r="L7" s="10"/>
      <c r="M7" s="10" t="s">
        <v>22</v>
      </c>
      <c r="N7" s="10"/>
      <c r="O7" s="10"/>
    </row>
    <row r="8" spans="1:76" x14ac:dyDescent="0.3">
      <c r="C8" s="7"/>
      <c r="D8" s="7"/>
      <c r="E8" s="7"/>
      <c r="F8" s="7"/>
      <c r="G8" s="9"/>
      <c r="H8" s="9"/>
      <c r="I8" s="9"/>
      <c r="L8" s="10"/>
      <c r="M8" s="10"/>
      <c r="N8" s="10"/>
      <c r="O8" s="10"/>
    </row>
    <row r="9" spans="1:76" x14ac:dyDescent="0.3">
      <c r="G9" s="9"/>
      <c r="H9" s="9"/>
      <c r="I9" s="9"/>
      <c r="L9" s="10"/>
      <c r="M9" s="10"/>
      <c r="N9" s="10"/>
      <c r="O9" s="10"/>
    </row>
    <row r="10" spans="1:76" x14ac:dyDescent="0.3">
      <c r="G10" s="9"/>
      <c r="H10" s="9"/>
      <c r="I10" s="9"/>
    </row>
    <row r="11" spans="1:76" x14ac:dyDescent="0.3">
      <c r="G11" s="9"/>
      <c r="H11" s="9"/>
      <c r="I11" s="9"/>
    </row>
    <row r="12" spans="1:76" x14ac:dyDescent="0.3">
      <c r="G12" s="9"/>
      <c r="H12" s="9"/>
      <c r="I12" s="9"/>
    </row>
    <row r="39" spans="1:87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M16" sqref="M16"/>
    </sheetView>
  </sheetViews>
  <sheetFormatPr defaultRowHeight="14.4" x14ac:dyDescent="0.3"/>
  <cols>
    <col min="1" max="1" width="30.33203125" customWidth="1"/>
    <col min="2" max="2" width="14.6640625" customWidth="1"/>
    <col min="3" max="3" width="18.44140625" customWidth="1"/>
  </cols>
  <sheetData>
    <row r="1" spans="1:3" ht="16.2" x14ac:dyDescent="0.35">
      <c r="A1" t="s">
        <v>23</v>
      </c>
      <c r="B1" s="14">
        <v>895000</v>
      </c>
      <c r="C1" s="15">
        <v>1505000</v>
      </c>
    </row>
    <row r="2" spans="1:3" ht="16.2" x14ac:dyDescent="0.35">
      <c r="A2" t="s">
        <v>24</v>
      </c>
      <c r="B2" s="14">
        <v>104000</v>
      </c>
      <c r="C2" s="16">
        <v>218000</v>
      </c>
    </row>
    <row r="3" spans="1:3" ht="16.2" x14ac:dyDescent="0.35">
      <c r="A3" t="s">
        <v>25</v>
      </c>
      <c r="B3" s="17">
        <v>74000</v>
      </c>
      <c r="C3" s="13">
        <v>82500</v>
      </c>
    </row>
    <row r="5" spans="1:3" x14ac:dyDescent="0.3">
      <c r="A5" t="s">
        <v>26</v>
      </c>
      <c r="B5" s="13">
        <f>SUM(B1:B3)</f>
        <v>1073000</v>
      </c>
      <c r="C5" s="13">
        <f>SUM(C1:C3)</f>
        <v>1805500</v>
      </c>
    </row>
    <row r="6" spans="1:3" x14ac:dyDescent="0.3">
      <c r="A6" t="s">
        <v>27</v>
      </c>
      <c r="B6">
        <f>B5+B5*0.18</f>
        <v>1266140</v>
      </c>
      <c r="C6">
        <f>C5+C5*0.18</f>
        <v>2130490</v>
      </c>
    </row>
    <row r="8" spans="1:3" x14ac:dyDescent="0.3">
      <c r="A8" s="18">
        <v>0.35</v>
      </c>
      <c r="B8">
        <f>B6*0.35</f>
        <v>443149</v>
      </c>
      <c r="C8">
        <f>C6*0.35</f>
        <v>745671.5</v>
      </c>
    </row>
    <row r="9" spans="1:3" x14ac:dyDescent="0.3">
      <c r="A9" s="18">
        <v>0.35</v>
      </c>
      <c r="B9">
        <f>B6*0.35</f>
        <v>443149</v>
      </c>
      <c r="C9">
        <f>C6*0.35</f>
        <v>745671.5</v>
      </c>
    </row>
    <row r="10" spans="1:3" x14ac:dyDescent="0.3">
      <c r="A10" s="18">
        <v>0.3</v>
      </c>
      <c r="B10">
        <f>B6*0.3</f>
        <v>379842</v>
      </c>
      <c r="C10">
        <f>C6*0.3</f>
        <v>639147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>
    <row r="1" spans="1:1" x14ac:dyDescent="0.3">
      <c r="A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 Tender Processing Solution 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vijayveera</dc:creator>
  <cp:lastModifiedBy>vijayveera</cp:lastModifiedBy>
  <dcterms:created xsi:type="dcterms:W3CDTF">2025-08-30T06:21:15Z</dcterms:created>
  <dcterms:modified xsi:type="dcterms:W3CDTF">2025-09-03T09:07:57Z</dcterms:modified>
</cp:coreProperties>
</file>